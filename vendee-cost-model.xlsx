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 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cols>
    <col min="1" max="1" width="26.83203125" customWidth="1"/>
    <col min="2" max="2" width="8.83203125" customWidth="1"/>
    <col min="3" max="3" width="6.83203125" customWidth="1"/>
    <col min="4" max="4" width="6.83203125" customWidth="1"/>
    <col min="5" max="5" width="9.83203125" customWidth="1"/>
    <col min="6" max="6" width="11.83203125" customWidth="1"/>
    <col min="7" max="7" width="11.83203125" customWidth="1"/>
    <col min="8" max="8" width="11.83203125" customWidth="1"/>
    <col min="9" max="9" width="9.83203125" customWidth="1"/>
    <col min="10" max="10" width="12.83203125" customWidth="1"/>
    <col min="11" max="11" width="12.83203125" customWidth="1"/>
    <col min="12" max="12" width="8.83203125" customWidth="1"/>
  </cols>
  <sheetData>
    <row r="1">
      <c r="A1" t="str">
        <v>Vendee — Cost Model (สูตรคำนวณอัตโนมัติ — แก้ค่าช่อง B แล้วทุกอย่างอัปเดต)</v>
      </c>
    </row>
    <row r="3">
      <c r="A3" t="str">
        <v>ASSUMPTIONS</v>
      </c>
      <c r="B3" t="str">
        <v>ค่า</v>
      </c>
      <c r="C3" t="str">
        <v>หน่วย</v>
      </c>
    </row>
    <row r="4">
      <c r="A4" t="str">
        <v>อัตราแลกเปลี่ยน (THB/USD)</v>
      </c>
      <c r="B4">
        <v>35</v>
      </c>
      <c r="C4" t="str">
        <v>฿/$</v>
      </c>
    </row>
    <row r="5">
      <c r="A5" t="str">
        <v>ราคา Eco</v>
      </c>
      <c r="B5">
        <v>100</v>
      </c>
      <c r="C5" t="str">
        <v>฿/เดือน</v>
      </c>
    </row>
    <row r="6">
      <c r="A6" t="str">
        <v>ราคา Pro</v>
      </c>
      <c r="B6">
        <v>200</v>
      </c>
      <c r="C6" t="str">
        <v>฿/เดือน</v>
      </c>
    </row>
    <row r="7">
      <c r="A7" t="str">
        <v>ราคา Platinum</v>
      </c>
      <c r="B7">
        <v>700</v>
      </c>
      <c r="C7" t="str">
        <v>฿/เดือน</v>
      </c>
    </row>
    <row r="8">
      <c r="A8" t="str">
        <v>ต้นทุน AI ต่อ scan</v>
      </c>
      <c r="B8">
        <v>0.13</v>
      </c>
      <c r="C8" t="str">
        <v>฿</v>
      </c>
    </row>
    <row r="9">
      <c r="A9" t="str">
        <v>scans/เดือน Free</v>
      </c>
      <c r="B9">
        <v>8</v>
      </c>
      <c r="C9" t="str">
        <v>ครั้ง</v>
      </c>
    </row>
    <row r="10">
      <c r="A10" t="str">
        <v>scans/เดือน Eco</v>
      </c>
      <c r="B10">
        <v>30</v>
      </c>
      <c r="C10" t="str">
        <v>ครั้ง</v>
      </c>
    </row>
    <row r="11">
      <c r="A11" t="str">
        <v>scans/เดือน Pro</v>
      </c>
      <c r="B11">
        <v>100</v>
      </c>
      <c r="C11" t="str">
        <v>ครั้ง</v>
      </c>
    </row>
    <row r="12">
      <c r="A12" t="str">
        <v>scans/เดือน Platinum (heavy)</v>
      </c>
      <c r="B12">
        <v>400</v>
      </c>
      <c r="C12" t="str">
        <v>ครั้ง</v>
      </c>
    </row>
    <row r="13">
      <c r="A13" t="str">
        <v>Beam fee</v>
      </c>
      <c r="B13">
        <v>1.65</v>
      </c>
      <c r="C13" t="str">
        <v>%</v>
      </c>
    </row>
    <row r="14">
      <c r="A14" t="str">
        <v>Vercel</v>
      </c>
      <c r="B14">
        <v>20</v>
      </c>
      <c r="C14" t="str">
        <v>$/เดือน</v>
      </c>
    </row>
    <row r="15">
      <c r="A15" t="str">
        <v>Supabase</v>
      </c>
      <c r="B15">
        <v>25</v>
      </c>
      <c r="C15" t="str">
        <v>$/เดือน</v>
      </c>
    </row>
    <row r="17">
      <c r="A17" t="str">
        <v>Scenario</v>
      </c>
      <c r="B17" t="str">
        <v>Free</v>
      </c>
      <c r="C17" t="str">
        <v>Eco</v>
      </c>
      <c r="D17" t="str">
        <v>Pro</v>
      </c>
      <c r="E17" t="str">
        <v>Platinum</v>
      </c>
      <c r="F17" t="str">
        <v>รายได้ ฿</v>
      </c>
      <c r="G17" t="str">
        <v>AI cost ฿</v>
      </c>
      <c r="H17" t="str">
        <v>Beam fee ฿</v>
      </c>
      <c r="I17" t="str">
        <v>Infra ฿</v>
      </c>
      <c r="J17" t="str">
        <v>ต้นทุนรวม ฿</v>
      </c>
      <c r="K17" t="str">
        <v>กำไรสุทธิ ฿</v>
      </c>
      <c r="L17" t="str">
        <v>Margin</v>
      </c>
    </row>
    <row r="18">
      <c r="A18" t="str">
        <v>ปัจจุบัน (8 free)</v>
      </c>
      <c r="B18">
        <v>8</v>
      </c>
      <c r="C18">
        <v>0</v>
      </c>
      <c r="D18">
        <v>0</v>
      </c>
      <c r="E18">
        <v>0</v>
      </c>
      <c r="F18" s="1">
        <f>B$5*C18+B$6*D18+B$7*E18</f>
      </c>
      <c r="G18" s="1">
        <f>B$8*(B18*B$9+C18*B$10+D18*B$11+E18*B$12)</f>
      </c>
      <c r="H18" s="1">
        <f>B$13/100*F18</f>
      </c>
      <c r="I18" s="1">
        <f>(B$14+B$15)*B$4</f>
      </c>
      <c r="J18" s="1">
        <f>G18+H18+I18</f>
      </c>
      <c r="K18" s="1">
        <f>F18-J18</f>
      </c>
      <c r="L18" s="2">
        <f>IF(F18=0,"",K18/F18)</f>
      </c>
    </row>
    <row r="19">
      <c r="A19" t="str">
        <v>5 Eco</v>
      </c>
      <c r="B19">
        <v>0</v>
      </c>
      <c r="C19">
        <v>5</v>
      </c>
      <c r="D19">
        <v>0</v>
      </c>
      <c r="E19">
        <v>0</v>
      </c>
      <c r="F19" s="1">
        <f>B$5*C19+B$6*D19+B$7*E19</f>
      </c>
      <c r="G19" s="1">
        <f>B$8*(B19*B$9+C19*B$10+D19*B$11+E19*B$12)</f>
      </c>
      <c r="H19" s="1">
        <f>B$13/100*F19</f>
      </c>
      <c r="I19" s="1">
        <f>(B$14+B$15)*B$4</f>
      </c>
      <c r="J19" s="1">
        <f>G19+H19+I19</f>
      </c>
      <c r="K19" s="1">
        <f>F19-J19</f>
      </c>
      <c r="L19" s="2">
        <f>IF(F19=0,"",K19/F19)</f>
      </c>
    </row>
    <row r="20">
      <c r="A20" t="str">
        <v>20 Eco</v>
      </c>
      <c r="B20">
        <v>0</v>
      </c>
      <c r="C20">
        <v>20</v>
      </c>
      <c r="D20">
        <v>0</v>
      </c>
      <c r="E20">
        <v>0</v>
      </c>
      <c r="F20" s="1">
        <f>B$5*C20+B$6*D20+B$7*E20</f>
      </c>
      <c r="G20" s="1">
        <f>B$8*(B20*B$9+C20*B$10+D20*B$11+E20*B$12)</f>
      </c>
      <c r="H20" s="1">
        <f>B$13/100*F20</f>
      </c>
      <c r="I20" s="1">
        <f>(B$14+B$15)*B$4</f>
      </c>
      <c r="J20" s="1">
        <f>G20+H20+I20</f>
      </c>
      <c r="K20" s="1">
        <f>F20-J20</f>
      </c>
      <c r="L20" s="2">
        <f>IF(F20=0,"",K20/F20)</f>
      </c>
    </row>
    <row r="21">
      <c r="A21" t="str">
        <v>10 Pro</v>
      </c>
      <c r="B21">
        <v>0</v>
      </c>
      <c r="C21">
        <v>0</v>
      </c>
      <c r="D21">
        <v>10</v>
      </c>
      <c r="E21">
        <v>0</v>
      </c>
      <c r="F21" s="1">
        <f>B$5*C21+B$6*D21+B$7*E21</f>
      </c>
      <c r="G21" s="1">
        <f>B$8*(B21*B$9+C21*B$10+D21*B$11+E21*B$12)</f>
      </c>
      <c r="H21" s="1">
        <f>B$13/100*F21</f>
      </c>
      <c r="I21" s="1">
        <f>(B$14+B$15)*B$4</f>
      </c>
      <c r="J21" s="1">
        <f>G21+H21+I21</f>
      </c>
      <c r="K21" s="1">
        <f>F21-J21</f>
      </c>
      <c r="L21" s="2">
        <f>IF(F21=0,"",K21/F21)</f>
      </c>
    </row>
    <row r="22">
      <c r="A22" t="str">
        <v>Break-even ~17 Eco</v>
      </c>
      <c r="B22">
        <v>0</v>
      </c>
      <c r="C22">
        <v>17</v>
      </c>
      <c r="D22">
        <v>0</v>
      </c>
      <c r="E22">
        <v>0</v>
      </c>
      <c r="F22" s="1">
        <f>B$5*C22+B$6*D22+B$7*E22</f>
      </c>
      <c r="G22" s="1">
        <f>B$8*(B22*B$9+C22*B$10+D22*B$11+E22*B$12)</f>
      </c>
      <c r="H22" s="1">
        <f>B$13/100*F22</f>
      </c>
      <c r="I22" s="1">
        <f>(B$14+B$15)*B$4</f>
      </c>
      <c r="J22" s="1">
        <f>G22+H22+I22</f>
      </c>
      <c r="K22" s="1">
        <f>F22-J22</f>
      </c>
      <c r="L22" s="2">
        <f>IF(F22=0,"",K22/F22)</f>
      </c>
    </row>
    <row r="23">
      <c r="A23" t="str">
        <v>Break-even ~9 Pro</v>
      </c>
      <c r="B23">
        <v>0</v>
      </c>
      <c r="C23">
        <v>0</v>
      </c>
      <c r="D23">
        <v>9</v>
      </c>
      <c r="E23">
        <v>0</v>
      </c>
      <c r="F23" s="1">
        <f>B$5*C23+B$6*D23+B$7*E23</f>
      </c>
      <c r="G23" s="1">
        <f>B$8*(B23*B$9+C23*B$10+D23*B$11+E23*B$12)</f>
      </c>
      <c r="H23" s="1">
        <f>B$13/100*F23</f>
      </c>
      <c r="I23" s="1">
        <f>(B$14+B$15)*B$4</f>
      </c>
      <c r="J23" s="1">
        <f>G23+H23+I23</f>
      </c>
      <c r="K23" s="1">
        <f>F23-J23</f>
      </c>
      <c r="L23" s="2">
        <f>IF(F23=0,"",K23/F23)</f>
      </c>
    </row>
    <row r="24">
      <c r="A24" t="str">
        <v>Mixed 100F/30E/15P/3Plat</v>
      </c>
      <c r="B24">
        <v>100</v>
      </c>
      <c r="C24">
        <v>30</v>
      </c>
      <c r="D24">
        <v>15</v>
      </c>
      <c r="E24">
        <v>3</v>
      </c>
      <c r="F24" s="1">
        <f>B$5*C24+B$6*D24+B$7*E24</f>
      </c>
      <c r="G24" s="1">
        <f>B$8*(B24*B$9+C24*B$10+D24*B$11+E24*B$12)</f>
      </c>
      <c r="H24" s="1">
        <f>B$13/100*F24</f>
      </c>
      <c r="I24" s="1">
        <f>(B$14+B$15)*B$4</f>
      </c>
      <c r="J24" s="1">
        <f>G24+H24+I24</f>
      </c>
      <c r="K24" s="1">
        <f>F24-J24</f>
      </c>
      <c r="L24" s="2">
        <f>IF(F24=0,"",K24/F24)</f>
      </c>
    </row>
    <row r="25">
      <c r="A25" t="str">
        <v>Scale 50 Pro</v>
      </c>
      <c r="B25">
        <v>0</v>
      </c>
      <c r="C25">
        <v>0</v>
      </c>
      <c r="D25">
        <v>50</v>
      </c>
      <c r="E25">
        <v>0</v>
      </c>
      <c r="F25" s="1">
        <f>B$5*C25+B$6*D25+B$7*E25</f>
      </c>
      <c r="G25" s="1">
        <f>B$8*(B25*B$9+C25*B$10+D25*B$11+E25*B$12)</f>
      </c>
      <c r="H25" s="1">
        <f>B$13/100*F25</f>
      </c>
      <c r="I25" s="1">
        <f>(B$14+B$15)*B$4</f>
      </c>
      <c r="J25" s="1">
        <f>G25+H25+I25</f>
      </c>
      <c r="K25" s="1">
        <f>F25-J25</f>
      </c>
      <c r="L25" s="2">
        <f>IF(F25=0,"",K25/F25)</f>
      </c>
    </row>
    <row r="26">
      <c r="A26" t="str">
        <v>Scale 200F/80E/40P/10Plat</v>
      </c>
      <c r="B26">
        <v>200</v>
      </c>
      <c r="C26">
        <v>80</v>
      </c>
      <c r="D26">
        <v>40</v>
      </c>
      <c r="E26">
        <v>10</v>
      </c>
      <c r="F26" s="1">
        <f>B$5*C26+B$6*D26+B$7*E26</f>
      </c>
      <c r="G26" s="1">
        <f>B$8*(B26*B$9+C26*B$10+D26*B$11+E26*B$12)</f>
      </c>
      <c r="H26" s="1">
        <f>B$13/100*F26</f>
      </c>
      <c r="I26" s="1">
        <f>(B$14+B$15)*B$4</f>
      </c>
      <c r="J26" s="1">
        <f>G26+H26+I26</f>
      </c>
      <c r="K26" s="1">
        <f>F26-J26</f>
      </c>
      <c r="L26" s="2">
        <f>IF(F26=0,"",K26/F26)</f>
      </c>
    </row>
    <row r="27">
      <c r="A27" t="str">
        <v>Big 100 Pro + 20 Plat</v>
      </c>
      <c r="B27">
        <v>0</v>
      </c>
      <c r="C27">
        <v>0</v>
      </c>
      <c r="D27">
        <v>100</v>
      </c>
      <c r="E27">
        <v>20</v>
      </c>
      <c r="F27" s="1">
        <f>B$5*C27+B$6*D27+B$7*E27</f>
      </c>
      <c r="G27" s="1">
        <f>B$8*(B27*B$9+C27*B$10+D27*B$11+E27*B$12)</f>
      </c>
      <c r="H27" s="1">
        <f>B$13/100*F27</f>
      </c>
      <c r="I27" s="1">
        <f>(B$14+B$15)*B$4</f>
      </c>
      <c r="J27" s="1">
        <f>G27+H27+I27</f>
      </c>
      <c r="K27" s="1">
        <f>F27-J27</f>
      </c>
      <c r="L27" s="2">
        <f>IF(F27=0,"",K27/F27)</f>
      </c>
    </row>
  </sheetData>
  <ignoredErrors>
    <ignoredError numberStoredAsText="1" sqref="A1:L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